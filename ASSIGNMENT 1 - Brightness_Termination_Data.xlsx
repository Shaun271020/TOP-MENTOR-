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op mentor Notes\Assignment 1\"/>
    </mc:Choice>
  </mc:AlternateContent>
  <xr:revisionPtr revIDLastSave="0" documentId="13_ncr:1_{EDEF60C7-1DDE-4792-9A20-43C1FA3FF2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6" i="2"/>
  <c r="C47" i="2" s="1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35" i="2"/>
  <c r="C36" i="2"/>
  <c r="C34" i="2"/>
  <c r="C40" i="2" s="1"/>
  <c r="B40" i="2" s="1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<sst xmlns="http://schemas.openxmlformats.org/spreadsheetml/2006/main" count="10468" uniqueCount="170">
  <si>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</si>
  <si>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</si>
  <si>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</si>
  <si>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</si>
  <si>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</si>
  <si>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</si>
  <si>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</si>
  <si>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</si>
  <si>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</si>
  <si>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</si>
  <si>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</si>
  <si>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</si>
  <si>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</si>
  <si>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</si>
  <si>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</si>
  <si>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</si>
  <si>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</si>
  <si>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</si>
  <si>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</si>
  <si>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</si>
  <si>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</si>
  <si>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</si>
  <si>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</si>
  <si>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</si>
  <si>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</si>
  <si>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</si>
  <si>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</si>
  <si>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</si>
  <si>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</si>
  <si>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</si>
  <si>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</si>
  <si>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</si>
  <si>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</si>
  <si>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</si>
  <si>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</si>
  <si>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</si>
  <si>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</si>
  <si>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</si>
  <si>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</si>
  <si>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</si>
  <si>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</si>
  <si>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</si>
  <si>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</si>
  <si>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</si>
  <si>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</si>
  <si>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</si>
  <si>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</si>
  <si>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</si>
  <si>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</si>
  <si>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</si>
  <si>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</si>
  <si>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</si>
  <si>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</si>
  <si>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</si>
  <si>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</si>
  <si>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</si>
  <si>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</si>
  <si>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</si>
  <si>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</si>
  <si>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</si>
  <si>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</si>
  <si>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</si>
  <si>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</si>
  <si>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</si>
  <si>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</si>
  <si>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</si>
  <si>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</si>
  <si>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</si>
  <si>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</si>
  <si>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</si>
  <si>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</si>
  <si>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</si>
  <si>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</si>
  <si>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</si>
  <si>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</si>
  <si>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</si>
  <si>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</si>
  <si>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</si>
  <si>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</si>
  <si>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</si>
  <si>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</si>
  <si>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</si>
  <si>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</si>
  <si>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</si>
  <si>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</si>
  <si>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</si>
  <si>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</si>
  <si>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</si>
  <si>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</si>
  <si>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</si>
  <si>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</si>
  <si>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</si>
  <si>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</si>
  <si>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</si>
  <si>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</si>
  <si>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</si>
  <si>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</si>
  <si>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</si>
  <si>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</si>
  <si>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</si>
  <si>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</si>
  <si>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</si>
  <si>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</si>
  <si>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</si>
  <si>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</si>
  <si>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</si>
  <si>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</si>
  <si>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</si>
  <si>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</si>
  <si>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</si>
  <si>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</si>
  <si>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</si>
  <si>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</si>
  <si>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</si>
  <si>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</si>
  <si>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</si>
  <si>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</si>
  <si>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</si>
  <si>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</si>
  <si>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</si>
  <si>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</si>
  <si>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</si>
  <si>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</si>
  <si>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</si>
  <si>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</si>
  <si>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</si>
  <si>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</si>
  <si>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</si>
  <si>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</si>
  <si>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</si>
  <si>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</si>
  <si>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</si>
  <si>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</si>
  <si>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</si>
  <si>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</si>
  <si>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</si>
  <si>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</si>
  <si>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</si>
  <si>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</si>
  <si>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</si>
  <si>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</si>
  <si>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</si>
  <si>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</si>
  <si>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</si>
  <si>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</si>
  <si>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</si>
  <si>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</si>
  <si>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</si>
  <si>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</si>
  <si>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</si>
  <si>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</si>
  <si>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</si>
  <si>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</si>
  <si>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</si>
  <si>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</si>
  <si>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</si>
  <si>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</si>
  <si>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</si>
  <si>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</si>
  <si>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</si>
  <si>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</si>
  <si>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</si>
  <si>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</si>
  <si>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</si>
  <si>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</si>
  <si>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</si>
  <si>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</si>
  <si>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</si>
  <si>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>Emp_PrevSTATUS column updated in Data sheet Table (Column E)</t>
  </si>
  <si>
    <t>termtype_desc column updated in DATA Table (Column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</si>
</sst>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workbookViewId="0">
      <selection activeCell="E1489" sqref="E1489"/>
    </sheetView>
  </sheetViews>
  <sheetFormatPr defaultRowHeight="15" x14ac:dyDescent="0.25"/>
  <cols>
    <col min="1" max="1" width="11.7109375" style="8" bestFit="1" customWidth="1"/>
    <col min="2" max="2" width="12.7109375" bestFit="1" customWidth="1"/>
    <col min="3" max="3" width="20" bestFit="1" customWidth="1"/>
    <col min="4" max="4" width="17" bestFit="1" customWidth="1"/>
    <col min="5" max="5" width="16.28515625" bestFit="1" customWidth="1"/>
    <col min="6" max="6" width="17.85546875" bestFit="1" customWidth="1"/>
    <col min="7" max="7" width="22.5703125" style="9" bestFit="1" customWidth="1"/>
    <col min="8" max="8" width="27.85546875" style="9" bestFit="1" customWidth="1"/>
    <col min="9" max="9" width="11.5703125" bestFit="1" customWidth="1"/>
    <col min="10" max="10" width="12.85546875" bestFit="1" customWidth="1"/>
    <col min="11" max="11" width="11.28515625" bestFit="1" customWidth="1"/>
    <col min="12" max="12" width="16.42578125" bestFit="1" customWidth="1"/>
    <col min="13" max="13" width="14.42578125" bestFit="1" customWidth="1"/>
    <col min="14" max="14" width="15.140625" bestFit="1" customWidth="1"/>
    <col min="15" max="15" width="16.85546875" customWidth="1"/>
    <col min="18" max="18" width="12" bestFit="1" customWidth="1"/>
  </cols>
  <sheetData>
    <row r="1" spans="1:14" s="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IF(D2&lt;=5,"Newcomer",(IF(D2&gt;10,"Expert","proficient")))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2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IF(D3&lt;=5,"Newcomer",(IF(D3&gt;10,"Expert","proficient")))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IF(OR(L3="retirement",L3="Resignation"),"Voluntary","Involuntary")</f>
        <v>Voluntary</v>
      </c>
      <c r="N3" s="4" t="s">
        <v>26</v>
      </c>
    </row>
    <row r="4" spans="1:14" x14ac:dyDescent="0.25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25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25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25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25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2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2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25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25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25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25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25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25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25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25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25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25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25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25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2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2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25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2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2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2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2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25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2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2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25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25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2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25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2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2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2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25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25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25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25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25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25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25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25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25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25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25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25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25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25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25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25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25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25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25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25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25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25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25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25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25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25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25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25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IF(D67&lt;=5,"Newcomer",(IF(D67&gt;10,"Expert","proficient")))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25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25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25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25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25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25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25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25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25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25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25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25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25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25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25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25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25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25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25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25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25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25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25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25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25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25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25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25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25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25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25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25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25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25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25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25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25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25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25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25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25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25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25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25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25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25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25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25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25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25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25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25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25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25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25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25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25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25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25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25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25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25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25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25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IF(D131&lt;=5,"Newcomer",(IF(D131&gt;10,"Expert","proficient")))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25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25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25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25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25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25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25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25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25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25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25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25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25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25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25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25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25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25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25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25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25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25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25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25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25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25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25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25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25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25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25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25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25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25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25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25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25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25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25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25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25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25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25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25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25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25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25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25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25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25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25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25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25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25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25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25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25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25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25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25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25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25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25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25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IF(D195&lt;=5,"Newcomer",(IF(D195&gt;10,"Expert","proficient")))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25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25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25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25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25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25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25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25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25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25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25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25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25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25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25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25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25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25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25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25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25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25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25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25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25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25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25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25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25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25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25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25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25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25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25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25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25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25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25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25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25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25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25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25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25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25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25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25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25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25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25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25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25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25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25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25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25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25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25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25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25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25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25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25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IF(D259&lt;=5,"Newcomer",(IF(D259&gt;10,"Expert","proficient")))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25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25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25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25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25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25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25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25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25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25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25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25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25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25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25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25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25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25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25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25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25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25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25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25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25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25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25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25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25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25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25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25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25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25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25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25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25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25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25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25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25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25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25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25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25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25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25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25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25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25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25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25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25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25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25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25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25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25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25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25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25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25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25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25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IF(D323&lt;=5,"Newcomer",(IF(D323&gt;10,"Expert","proficient")))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25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25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25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25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25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25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25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25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25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25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25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25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25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25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25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25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25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25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25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25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25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25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25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25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25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25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25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25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25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25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25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25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25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25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25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25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25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25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25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25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25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25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25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25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25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25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25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25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25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25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25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25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25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25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25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25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25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25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25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25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25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25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25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25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IF(D387&lt;=5,"Newcomer",(IF(D387&gt;10,"Expert","proficient")))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25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25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25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25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25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25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25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25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25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25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25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25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25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25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25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25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25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25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25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25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25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25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25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25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25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25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25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25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25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25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25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25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25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25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25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25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25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25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25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25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25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25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25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25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25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25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25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25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25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25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25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25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25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25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25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25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25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25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25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25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25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25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25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25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IF(D451&lt;=5,"Newcomer",(IF(D451&gt;10,"Expert","proficient")))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25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25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25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25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25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25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25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25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25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25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25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25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25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25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25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25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25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25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25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25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25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25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25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25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25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25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25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25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25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25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25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25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25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25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25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25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25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25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25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25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25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25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25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25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25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25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25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25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25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25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25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25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25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25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25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25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25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25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25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25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25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25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25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25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IF(D515&lt;=5,"Newcomer",(IF(D515&gt;10,"Expert","proficient")))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25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25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25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25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25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25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25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25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25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25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25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25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25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25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25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25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25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25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25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25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25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25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25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25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25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25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25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25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25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25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25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25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25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25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25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25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25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25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25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25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25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25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25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25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25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25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25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25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25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25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25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25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25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25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25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25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25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25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25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25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25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25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25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25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IF(D579&lt;=5,"Newcomer",(IF(D579&gt;10,"Expert","proficient")))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25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25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25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25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25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25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25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25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25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25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25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25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25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25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25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25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25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25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25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25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25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25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25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25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25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25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25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25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25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25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25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25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25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25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25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25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25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25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25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25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25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25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25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25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25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25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25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25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25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25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25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25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25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25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25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25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25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25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25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25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25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25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25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25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IF(D643&lt;=5,"Newcomer",(IF(D643&gt;10,"Expert","proficient")))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25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25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25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25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25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25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25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25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25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25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25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25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25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25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25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25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25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25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25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25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25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25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25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25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25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25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25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25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25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25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25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25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25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25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25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25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25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25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25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25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25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25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25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25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25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25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25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25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25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25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25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25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25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25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25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25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25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25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25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25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25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25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25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25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IF(D707&lt;=5,"Newcomer",(IF(D707&gt;10,"Expert","proficient")))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25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25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25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25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25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25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25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25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25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25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25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25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25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25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25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25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25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25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25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25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25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25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25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25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25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25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25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25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25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25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25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25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25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25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25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25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25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25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25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25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25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25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25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25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25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25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25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25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25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25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25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25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25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25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25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25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25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25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25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25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25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25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25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25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IF(D771&lt;=5,"Newcomer",(IF(D771&gt;10,"Expert","proficient")))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25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25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25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25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25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25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25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25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25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25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25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25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25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25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25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25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25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25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25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25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25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25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25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25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25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25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25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25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25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25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25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25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25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25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25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25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25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25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25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25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25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25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25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25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25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25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25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25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25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25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25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25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25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25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25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25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25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25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25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25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25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25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25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25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IF(D835&lt;=5,"Newcomer",(IF(D835&gt;10,"Expert","proficient")))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25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25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25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25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25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25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25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25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25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25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25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25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25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25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25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25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25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25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25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25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25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25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25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25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25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25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25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25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25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25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25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25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25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25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25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25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25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25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25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25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25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25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25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25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25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25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25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25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25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25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25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25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25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25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25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25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25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25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25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25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25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25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25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25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IF(D899&lt;=5,"Newcomer",(IF(D899&gt;10,"Expert","proficient")))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25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25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25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25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25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25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25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25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25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25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25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25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25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25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25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25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25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25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25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25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25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25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25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25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25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25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25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25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25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25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25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25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25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25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25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25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25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25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25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25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25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25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25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25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25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25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25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25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25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25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25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25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25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25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25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25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25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25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25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25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25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25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25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25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IF(D963&lt;=5,"Newcomer",(IF(D963&gt;10,"Expert","proficient")))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25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25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25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25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25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25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25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25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25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25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25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25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25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25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25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25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25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25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25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25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25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25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25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25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25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25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25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25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25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25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25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25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25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25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25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25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25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25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25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25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25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25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25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25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25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25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25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25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25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25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25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25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25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25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25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25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25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25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25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25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25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25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25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25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IF(D1027&lt;=5,"Newcomer",(IF(D1027&gt;10,"Expert","proficient")))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25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25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25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25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25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25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25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25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25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25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25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25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25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25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25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25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25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25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25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25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25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25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25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25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25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25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25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25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25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25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25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25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25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25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25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25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25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25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25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25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25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25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25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25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25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25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25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25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25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25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25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25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25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25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25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25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25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25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25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25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25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25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25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25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IF(D1091&lt;=5,"Newcomer",(IF(D1091&gt;10,"Expert","proficient")))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25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25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25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25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25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25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25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25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25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25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25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25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25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25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25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25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25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25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25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25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25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25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25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25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25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25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25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25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25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25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25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25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25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25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25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25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25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25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25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25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25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25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25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25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25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25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25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25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25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25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25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25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25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25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25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25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25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25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25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25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25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25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25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25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IF(D1155&lt;=5,"Newcomer",(IF(D1155&gt;10,"Expert","proficient")))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25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25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25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25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25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25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25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25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25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25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25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25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25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25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25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25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25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25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25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25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25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25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25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25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25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25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25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25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25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25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25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25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25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25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25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25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25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25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25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25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25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25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25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25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25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25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25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25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25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25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25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25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25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25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25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25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25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25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25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25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25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25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25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25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IF(D1219&lt;=5,"Newcomer",(IF(D1219&gt;10,"Expert","proficient")))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25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25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25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25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25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25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25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25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25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25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25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25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25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25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25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25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25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25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25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25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25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25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25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25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25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25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25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25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25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25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25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25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25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25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25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25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25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25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25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25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25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25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25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25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25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25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25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25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25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25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25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25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25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25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25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25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25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25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25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25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25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25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25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25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IF(D1283&lt;=5,"Newcomer",(IF(D1283&gt;10,"Expert","proficient")))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25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25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25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25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25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25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25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25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25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25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25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25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25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25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25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25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25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25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25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25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25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25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25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25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25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25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25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25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25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25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25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25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25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25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25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25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25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25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25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25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25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25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25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25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25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25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25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25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25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25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25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25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25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25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25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25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25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25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25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25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25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25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25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25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IF(D1347&lt;=5,"Newcomer",(IF(D1347&gt;10,"Expert","proficient")))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25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25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25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25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25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25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25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25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25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25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25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25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25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25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25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25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25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25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25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25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25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25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25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25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25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25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25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25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25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25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25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25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25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25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25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25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25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25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25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25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25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25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25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25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25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25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25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25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25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25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25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25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25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25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25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25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25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25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25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25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25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25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25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25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IF(D1411&lt;=5,"Newcomer",(IF(D1411&gt;10,"Expert","proficient")))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25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25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25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25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25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25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25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25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25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25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25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25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25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25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25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25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25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25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25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25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25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25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25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25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25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25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25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25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25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25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25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25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25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25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25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25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25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25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25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25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25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25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25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25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25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25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25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25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25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25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25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25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25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25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25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25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25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25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25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25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25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25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25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25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IF(D1475&lt;=5,"Newcomer",(IF(D1475&gt;10,"Expert","proficient")))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IF(OR(L1475="retirement",L1475="Resignation"),"Voluntary","Involuntary")</f>
        <v>Voluntary</v>
      </c>
      <c r="N1475" s="4" t="s">
        <v>26</v>
      </c>
    </row>
    <row r="1476" spans="1:14" x14ac:dyDescent="0.25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25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25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25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25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25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25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25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25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25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25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tabSelected="1" topLeftCell="A24" workbookViewId="0">
      <selection activeCell="M31" sqref="M31"/>
    </sheetView>
  </sheetViews>
  <sheetFormatPr defaultRowHeight="15" x14ac:dyDescent="0.25"/>
  <cols>
    <col min="1" max="1" width="8.85546875" style="21"/>
    <col min="2" max="2" width="31.5703125" customWidth="1"/>
    <col min="3" max="3" width="26.28515625" bestFit="1" customWidth="1"/>
  </cols>
  <sheetData>
    <row r="1" spans="1:3" x14ac:dyDescent="0.25">
      <c r="A1" s="21" t="s">
        <v>119</v>
      </c>
    </row>
    <row r="3" spans="1:3" x14ac:dyDescent="0.25">
      <c r="A3" s="21" t="s">
        <v>120</v>
      </c>
    </row>
    <row r="4" spans="1:3" x14ac:dyDescent="0.25">
      <c r="B4" t="s">
        <v>122</v>
      </c>
      <c r="C4" s="12">
        <v>1485</v>
      </c>
    </row>
    <row r="5" spans="1:3" x14ac:dyDescent="0.25">
      <c r="C5" s="8"/>
    </row>
    <row r="6" spans="1:3" x14ac:dyDescent="0.25">
      <c r="A6" s="21" t="s">
        <v>121</v>
      </c>
      <c r="C6" s="8"/>
    </row>
    <row r="7" spans="1:3" x14ac:dyDescent="0.25">
      <c r="B7" t="s">
        <v>123</v>
      </c>
      <c r="C7" s="11">
        <v>7.0000000000000007E-2</v>
      </c>
    </row>
    <row r="8" spans="1:3" x14ac:dyDescent="0.25">
      <c r="B8" t="s">
        <v>124</v>
      </c>
      <c r="C8" s="22">
        <f>ROUND(C4+(C4*C7),0)</f>
        <v>1589</v>
      </c>
    </row>
    <row r="10" spans="1:3" ht="15.75" thickBot="1" x14ac:dyDescent="0.3">
      <c r="A10" s="21" t="s">
        <v>125</v>
      </c>
    </row>
    <row r="11" spans="1:3" x14ac:dyDescent="0.25">
      <c r="B11" s="15" t="s">
        <v>126</v>
      </c>
      <c r="C11" s="16" t="s">
        <v>127</v>
      </c>
    </row>
    <row r="12" spans="1:3" x14ac:dyDescent="0.25">
      <c r="B12" s="18">
        <v>0.04</v>
      </c>
      <c r="C12" s="13">
        <f>ROUND($C$4+($C$4*B12),0)</f>
        <v>1544</v>
      </c>
    </row>
    <row r="13" spans="1:3" x14ac:dyDescent="0.25">
      <c r="B13" s="18">
        <v>4.4999999999999998E-2</v>
      </c>
      <c r="C13" s="13">
        <f t="shared" ref="C13:C24" si="0">ROUND($C$4+($C$4*B13),0)</f>
        <v>1552</v>
      </c>
    </row>
    <row r="14" spans="1:3" x14ac:dyDescent="0.25">
      <c r="B14" s="18">
        <v>0.05</v>
      </c>
      <c r="C14" s="13">
        <f t="shared" si="0"/>
        <v>1559</v>
      </c>
    </row>
    <row r="15" spans="1:3" x14ac:dyDescent="0.25">
      <c r="B15" s="18">
        <v>5.5E-2</v>
      </c>
      <c r="C15" s="13">
        <f t="shared" si="0"/>
        <v>1567</v>
      </c>
    </row>
    <row r="16" spans="1:3" x14ac:dyDescent="0.25">
      <c r="B16" s="18">
        <v>0.06</v>
      </c>
      <c r="C16" s="13">
        <f t="shared" si="0"/>
        <v>1574</v>
      </c>
    </row>
    <row r="17" spans="1:3" x14ac:dyDescent="0.25">
      <c r="B17" s="18">
        <v>6.5000000000000002E-2</v>
      </c>
      <c r="C17" s="13">
        <f t="shared" si="0"/>
        <v>1582</v>
      </c>
    </row>
    <row r="18" spans="1:3" x14ac:dyDescent="0.25">
      <c r="B18" s="18">
        <v>7.0000000000000007E-2</v>
      </c>
      <c r="C18" s="13">
        <f t="shared" si="0"/>
        <v>1589</v>
      </c>
    </row>
    <row r="19" spans="1:3" x14ac:dyDescent="0.25">
      <c r="B19" s="18">
        <v>7.4999999999999997E-2</v>
      </c>
      <c r="C19" s="13">
        <f t="shared" si="0"/>
        <v>1596</v>
      </c>
    </row>
    <row r="20" spans="1:3" x14ac:dyDescent="0.25">
      <c r="B20" s="18">
        <v>0.08</v>
      </c>
      <c r="C20" s="13">
        <f t="shared" si="0"/>
        <v>1604</v>
      </c>
    </row>
    <row r="21" spans="1:3" x14ac:dyDescent="0.25">
      <c r="B21" s="18">
        <v>8.5000000000000006E-2</v>
      </c>
      <c r="C21" s="13">
        <f t="shared" si="0"/>
        <v>1611</v>
      </c>
    </row>
    <row r="22" spans="1:3" x14ac:dyDescent="0.25">
      <c r="B22" s="18">
        <v>0.09</v>
      </c>
      <c r="C22" s="13">
        <f t="shared" si="0"/>
        <v>1619</v>
      </c>
    </row>
    <row r="23" spans="1:3" x14ac:dyDescent="0.25">
      <c r="B23" s="18">
        <v>9.5000000000000001E-2</v>
      </c>
      <c r="C23" s="13">
        <f t="shared" si="0"/>
        <v>1626</v>
      </c>
    </row>
    <row r="24" spans="1:3" ht="15.75" thickBot="1" x14ac:dyDescent="0.3">
      <c r="B24" s="17">
        <v>0.1</v>
      </c>
      <c r="C24" s="13">
        <f t="shared" si="0"/>
        <v>1634</v>
      </c>
    </row>
    <row r="26" spans="1:3" x14ac:dyDescent="0.25">
      <c r="A26" s="21" t="s">
        <v>128</v>
      </c>
    </row>
    <row r="27" spans="1:3" ht="15.75" thickBot="1" x14ac:dyDescent="0.3">
      <c r="B27" t="s">
        <v>129</v>
      </c>
    </row>
    <row r="28" spans="1:3" x14ac:dyDescent="0.25">
      <c r="B28" s="15" t="s">
        <v>126</v>
      </c>
      <c r="C28" s="16" t="s">
        <v>127</v>
      </c>
    </row>
    <row r="29" spans="1:3" ht="15.75" thickBot="1" x14ac:dyDescent="0.3">
      <c r="B29" s="17">
        <v>4.4999999999999998E-2</v>
      </c>
      <c r="C29" s="14">
        <f>VLOOKUP(B29,B12:C24,2,FALSE)</f>
        <v>1552</v>
      </c>
    </row>
    <row r="31" spans="1:3" x14ac:dyDescent="0.25">
      <c r="A31" s="21" t="s">
        <v>130</v>
      </c>
    </row>
    <row r="32" spans="1:3" ht="15.75" thickBot="1" x14ac:dyDescent="0.3">
      <c r="B32" s="10" t="s">
        <v>122</v>
      </c>
    </row>
    <row r="33" spans="1:3" x14ac:dyDescent="0.25">
      <c r="B33" s="15" t="s">
        <v>131</v>
      </c>
      <c r="C33" s="16" t="s">
        <v>132</v>
      </c>
    </row>
    <row r="34" spans="1:3" x14ac:dyDescent="0.25">
      <c r="B34" s="39" t="s">
        <v>19</v>
      </c>
      <c r="C34" s="13">
        <f>COUNTIF(DATA!$L$2:L1486,SOLUTIONS!B34)</f>
        <v>392</v>
      </c>
    </row>
    <row r="35" spans="1:3" x14ac:dyDescent="0.25">
      <c r="B35" s="39" t="s">
        <v>50</v>
      </c>
      <c r="C35" s="13">
        <f>COUNTIF(DATA!$L$2:L1487,SOLUTIONS!B35)</f>
        <v>385</v>
      </c>
    </row>
    <row r="36" spans="1:3" ht="15.75" thickBot="1" x14ac:dyDescent="0.3">
      <c r="B36" s="40" t="s">
        <v>96</v>
      </c>
      <c r="C36" s="13">
        <f>COUNTIF(DATA!$L$2:L1488,SOLUTIONS!B36)</f>
        <v>708</v>
      </c>
    </row>
    <row r="38" spans="1:3" ht="15.75" thickBot="1" x14ac:dyDescent="0.3">
      <c r="B38" s="19" t="s">
        <v>133</v>
      </c>
    </row>
    <row r="39" spans="1:3" x14ac:dyDescent="0.25">
      <c r="B39" s="15" t="s">
        <v>131</v>
      </c>
      <c r="C39" s="16" t="s">
        <v>132</v>
      </c>
    </row>
    <row r="40" spans="1:3" ht="15.75" thickBot="1" x14ac:dyDescent="0.3">
      <c r="B40" s="40" t="str">
        <f>INDEX($B$34:$B$36,MATCH(C40,$C$34:$C$36,0))</f>
        <v>Layoff</v>
      </c>
      <c r="C40" s="14">
        <f>MAX(C34:C36)</f>
        <v>708</v>
      </c>
    </row>
    <row r="42" spans="1:3" x14ac:dyDescent="0.25">
      <c r="A42" s="21" t="s">
        <v>134</v>
      </c>
      <c r="B42" t="s">
        <v>135</v>
      </c>
    </row>
    <row r="43" spans="1:3" x14ac:dyDescent="0.25">
      <c r="B43" t="s">
        <v>169</v>
      </c>
    </row>
    <row r="44" spans="1:3" x14ac:dyDescent="0.25">
      <c r="B44" t="s">
        <v>136</v>
      </c>
    </row>
    <row r="45" spans="1:3" x14ac:dyDescent="0.25">
      <c r="B45" t="s">
        <v>137</v>
      </c>
      <c r="C45" s="20">
        <f>+COUNTA(DATA!M2:M1486)</f>
        <v>1485</v>
      </c>
    </row>
    <row r="46" spans="1:3" x14ac:dyDescent="0.25">
      <c r="B46" t="s">
        <v>138</v>
      </c>
      <c r="C46" s="8">
        <f>COUNTIF(DATA!$M$2:$M$1486,"Voluntary")</f>
        <v>777</v>
      </c>
    </row>
    <row r="47" spans="1:3" x14ac:dyDescent="0.25">
      <c r="B47" s="10" t="s">
        <v>139</v>
      </c>
      <c r="C47" s="23">
        <f>C46/C45</f>
        <v>0.52323232323232327</v>
      </c>
    </row>
    <row r="49" spans="1:2" x14ac:dyDescent="0.25">
      <c r="A49" s="21" t="s">
        <v>140</v>
      </c>
    </row>
    <row r="50" spans="1:2" x14ac:dyDescent="0.25">
      <c r="B50" t="s">
        <v>168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workbookViewId="0">
      <selection activeCell="E34" sqref="E34"/>
    </sheetView>
  </sheetViews>
  <sheetFormatPr defaultRowHeight="15" x14ac:dyDescent="0.25"/>
  <sheetData>
    <row r="1" spans="1:4" ht="18.75" x14ac:dyDescent="0.25">
      <c r="A1" s="24" t="s">
        <v>141</v>
      </c>
    </row>
    <row r="2" spans="1:4" x14ac:dyDescent="0.25">
      <c r="A2" s="25" t="s">
        <v>142</v>
      </c>
    </row>
    <row r="3" spans="1:4" x14ac:dyDescent="0.25">
      <c r="A3" s="25"/>
    </row>
    <row r="4" spans="1:4" ht="18.75" x14ac:dyDescent="0.25">
      <c r="A4" s="27" t="s">
        <v>143</v>
      </c>
    </row>
    <row r="5" spans="1:4" x14ac:dyDescent="0.25">
      <c r="A5" s="28" t="s">
        <v>144</v>
      </c>
      <c r="D5" s="28" t="s">
        <v>145</v>
      </c>
    </row>
    <row r="6" spans="1:4" x14ac:dyDescent="0.25">
      <c r="A6" s="29" t="s">
        <v>146</v>
      </c>
    </row>
    <row r="7" spans="1:4" x14ac:dyDescent="0.25">
      <c r="A7" s="30" t="s">
        <v>147</v>
      </c>
    </row>
    <row r="8" spans="1:4" x14ac:dyDescent="0.25">
      <c r="A8" s="29" t="s">
        <v>148</v>
      </c>
    </row>
    <row r="9" spans="1:4" x14ac:dyDescent="0.25">
      <c r="A9" s="31"/>
    </row>
    <row r="10" spans="1:4" x14ac:dyDescent="0.25">
      <c r="A10" s="28" t="s">
        <v>149</v>
      </c>
    </row>
    <row r="11" spans="1:4" x14ac:dyDescent="0.25">
      <c r="A11" s="25" t="s">
        <v>150</v>
      </c>
    </row>
    <row r="12" spans="1:4" x14ac:dyDescent="0.25">
      <c r="A12" s="29" t="s">
        <v>151</v>
      </c>
    </row>
    <row r="13" spans="1:4" x14ac:dyDescent="0.25">
      <c r="A13" s="29" t="s">
        <v>152</v>
      </c>
    </row>
    <row r="14" spans="1:4" x14ac:dyDescent="0.25">
      <c r="A14" s="26" t="s">
        <v>153</v>
      </c>
    </row>
    <row r="15" spans="1:4" x14ac:dyDescent="0.25">
      <c r="A15" s="29" t="s">
        <v>154</v>
      </c>
    </row>
    <row r="16" spans="1:4" x14ac:dyDescent="0.25">
      <c r="A16" s="32" t="s">
        <v>155</v>
      </c>
    </row>
    <row r="17" spans="1:5" x14ac:dyDescent="0.25">
      <c r="A17" s="33" t="s">
        <v>156</v>
      </c>
      <c r="E17" s="33" t="s">
        <v>157</v>
      </c>
    </row>
    <row r="18" spans="1:5" x14ac:dyDescent="0.25">
      <c r="A18" s="29" t="s">
        <v>158</v>
      </c>
    </row>
    <row r="19" spans="1:5" x14ac:dyDescent="0.25">
      <c r="A19" s="34" t="s">
        <v>159</v>
      </c>
    </row>
    <row r="20" spans="1:5" x14ac:dyDescent="0.25">
      <c r="A20" s="34" t="s">
        <v>160</v>
      </c>
    </row>
    <row r="21" spans="1:5" x14ac:dyDescent="0.25">
      <c r="A21" s="35" t="s">
        <v>161</v>
      </c>
    </row>
    <row r="22" spans="1:5" x14ac:dyDescent="0.25">
      <c r="A22" s="33"/>
    </row>
    <row r="23" spans="1:5" x14ac:dyDescent="0.25">
      <c r="A23" s="29" t="s">
        <v>162</v>
      </c>
    </row>
    <row r="24" spans="1:5" x14ac:dyDescent="0.25">
      <c r="A24" s="36" t="s">
        <v>163</v>
      </c>
    </row>
    <row r="25" spans="1:5" x14ac:dyDescent="0.25">
      <c r="A25" s="36" t="s">
        <v>164</v>
      </c>
    </row>
    <row r="26" spans="1:5" x14ac:dyDescent="0.25">
      <c r="A26" s="36" t="s">
        <v>165</v>
      </c>
    </row>
    <row r="27" spans="1:5" x14ac:dyDescent="0.25">
      <c r="A27" s="37" t="s">
        <v>166</v>
      </c>
    </row>
    <row r="28" spans="1:5" x14ac:dyDescent="0.25">
      <c r="A28" s="28"/>
    </row>
    <row r="29" spans="1:5" x14ac:dyDescent="0.25">
      <c r="A29" s="28"/>
    </row>
    <row r="30" spans="1:5" x14ac:dyDescent="0.25">
      <c r="A30" s="25"/>
    </row>
    <row r="31" spans="1:5" x14ac:dyDescent="0.25">
      <c r="A31" s="25"/>
    </row>
    <row r="32" spans="1:5" x14ac:dyDescent="0.25">
      <c r="A32" s="38" t="s">
        <v>167</v>
      </c>
    </row>
    <row r="33" spans="1:1" x14ac:dyDescent="0.25">
      <c r="A3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Shaun William Paul</cp:lastModifiedBy>
  <dcterms:created xsi:type="dcterms:W3CDTF">2022-04-06T06:28:55Z</dcterms:created>
  <dcterms:modified xsi:type="dcterms:W3CDTF">2026-06-07T11:05:00Z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